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/Mi unidad/Documents/Universidad/Docencia/UJA/2024-2025/Meta/Prácticas/"/>
    </mc:Choice>
  </mc:AlternateContent>
  <xr:revisionPtr revIDLastSave="0" documentId="13_ncr:1_{654ED2C4-6696-4545-851D-ECA8B0281DD7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NBZwG0+XA+N2teRsoyt1N8fl1JH3Fu/a43D49Gn8P8A="/>
    </ext>
  </extLst>
</workbook>
</file>

<file path=xl/calcChain.xml><?xml version="1.0" encoding="utf-8"?>
<calcChain xmlns="http://schemas.openxmlformats.org/spreadsheetml/2006/main">
  <c r="K13" i="1" l="1"/>
  <c r="K12" i="1"/>
  <c r="K20" i="1" s="1"/>
  <c r="I13" i="1"/>
  <c r="I12" i="1"/>
  <c r="I20" i="1" s="1"/>
  <c r="G13" i="1"/>
  <c r="G12" i="1"/>
  <c r="E13" i="1"/>
  <c r="E12" i="1"/>
  <c r="J13" i="1"/>
  <c r="J12" i="1"/>
  <c r="J20" i="1" s="1"/>
  <c r="H13" i="1"/>
  <c r="H12" i="1"/>
  <c r="H20" i="1" s="1"/>
  <c r="F13" i="1"/>
  <c r="F12" i="1"/>
  <c r="F20" i="1" s="1"/>
  <c r="D13" i="1"/>
  <c r="D12" i="1"/>
  <c r="D20" i="1" s="1"/>
  <c r="B13" i="1"/>
  <c r="B12" i="1"/>
  <c r="B20" i="1" s="1"/>
  <c r="M20" i="1"/>
  <c r="G20" i="1"/>
  <c r="E20" i="1"/>
  <c r="C20" i="1"/>
  <c r="C13" i="1"/>
  <c r="C12" i="1"/>
  <c r="L20" i="1" l="1"/>
</calcChain>
</file>

<file path=xl/sharedStrings.xml><?xml version="1.0" encoding="utf-8"?>
<sst xmlns="http://schemas.openxmlformats.org/spreadsheetml/2006/main" count="56" uniqueCount="24">
  <si>
    <t>Tamaño</t>
  </si>
  <si>
    <t>Sol</t>
  </si>
  <si>
    <t>Time</t>
  </si>
  <si>
    <t>Media</t>
  </si>
  <si>
    <t>BL</t>
  </si>
  <si>
    <t>Ejecución 1</t>
  </si>
  <si>
    <t>Ejecución 2</t>
  </si>
  <si>
    <t>Ejecución 3</t>
  </si>
  <si>
    <t>Ejecución 4</t>
  </si>
  <si>
    <t>Ejecución 5</t>
  </si>
  <si>
    <t>Desv. típica</t>
  </si>
  <si>
    <t>AÑADIR TANTAS TABLAS COMO ALGORITMOS TENGAMOS</t>
  </si>
  <si>
    <t>MEDIA</t>
  </si>
  <si>
    <t>C</t>
  </si>
  <si>
    <t>Greedy</t>
  </si>
  <si>
    <t>TABU</t>
  </si>
  <si>
    <t>MA</t>
  </si>
  <si>
    <t>A280</t>
  </si>
  <si>
    <t>CH130</t>
  </si>
  <si>
    <t>PR144</t>
  </si>
  <si>
    <t>D18512</t>
  </si>
  <si>
    <t>U1060</t>
  </si>
  <si>
    <t>Mínimo encontrado</t>
  </si>
  <si>
    <t>Desv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</si>
</sst>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Times New Roman"/>
    </font>
    <font>
      <b/>
      <i/>
      <sz val="12"/>
      <color rgb="FF000000"/>
      <name val="Times New Roman"/>
    </font>
    <font>
      <sz val="12"/>
      <color rgb="FF000000"/>
      <name val="Times New Roman"/>
    </font>
    <font>
      <b/>
      <sz val="20"/>
      <color rgb="FF980000"/>
      <name val="Calibri"/>
      <scheme val="minor"/>
    </font>
    <font>
      <sz val="20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</fills>
  <borders count="21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2" fontId="6" fillId="0" borderId="11" xfId="0" applyNumberFormat="1" applyFont="1" applyBorder="1" applyAlignment="1">
      <alignment horizontal="center" vertical="top" wrapText="1"/>
    </xf>
    <xf numFmtId="0" fontId="7" fillId="0" borderId="0" xfId="0" applyFont="1"/>
    <xf numFmtId="0" fontId="5" fillId="5" borderId="13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2" fontId="6" fillId="5" borderId="16" xfId="0" applyNumberFormat="1" applyFont="1" applyFill="1" applyBorder="1" applyAlignment="1">
      <alignment horizontal="center" vertical="top" wrapText="1"/>
    </xf>
    <xf numFmtId="2" fontId="6" fillId="5" borderId="17" xfId="0" applyNumberFormat="1" applyFont="1" applyFill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2" fontId="6" fillId="0" borderId="19" xfId="0" applyNumberFormat="1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" fillId="0" borderId="7" xfId="0" applyFont="1" applyBorder="1"/>
    <xf numFmtId="0" fontId="4" fillId="5" borderId="4" xfId="0" applyFont="1" applyFill="1" applyBorder="1" applyAlignment="1">
      <alignment horizontal="center" vertical="top" wrapText="1"/>
    </xf>
    <xf numFmtId="0" fontId="1" fillId="0" borderId="12" xfId="0" applyFont="1" applyBorder="1"/>
    <xf numFmtId="0" fontId="1" fillId="0" borderId="5" xfId="0" applyFont="1" applyBorder="1"/>
    <xf numFmtId="0" fontId="6" fillId="0" borderId="1" xfId="0" applyFont="1" applyBorder="1" applyAlignment="1">
      <alignment horizontal="center" vertical="top" wrapText="1"/>
    </xf>
    <xf numFmtId="0" fontId="1" fillId="0" borderId="2" xfId="0" applyFont="1" applyBorder="1"/>
    <xf numFmtId="0" fontId="11" fillId="0" borderId="4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9" fillId="0" borderId="0" xfId="0" applyFont="1"/>
    <xf numFmtId="0" fontId="0" fillId="0" borderId="0" xfId="0"/>
    <xf numFmtId="0" fontId="2" fillId="3" borderId="20" xfId="0" applyFont="1" applyFill="1" applyBorder="1" applyAlignment="1">
      <alignment horizontal="left" vertical="center"/>
    </xf>
    <xf numFmtId="0" fontId="3" fillId="3" borderId="20" xfId="0" applyFont="1" applyFill="1" applyBorder="1" applyAlignment="1">
      <alignment horizontal="right" vertical="center"/>
    </xf>
    <xf numFmtId="0" fontId="10" fillId="3" borderId="20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right" vertical="center"/>
    </xf>
    <xf numFmtId="0" fontId="1" fillId="0" borderId="20" xfId="0" applyFont="1" applyBorder="1"/>
    <xf numFmtId="0" fontId="4" fillId="0" borderId="20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2" fontId="6" fillId="4" borderId="20" xfId="0" applyNumberFormat="1" applyFont="1" applyFill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 wrapText="1"/>
    </xf>
    <xf numFmtId="2" fontId="6" fillId="0" borderId="20" xfId="0" applyNumberFormat="1" applyFont="1" applyBorder="1" applyAlignment="1">
      <alignment horizontal="center" vertical="top" wrapText="1"/>
    </xf>
    <xf numFmtId="0" fontId="8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9"/>
  <sheetViews>
    <sheetView tabSelected="1" workbookViewId="0">
      <selection activeCell="K11" sqref="K11"/>
    </sheetView>
  </sheetViews>
  <sheetFormatPr baseColWidth="10" defaultColWidth="14.5" defaultRowHeight="15" customHeight="1" x14ac:dyDescent="0.2"/>
  <cols>
    <col min="1" max="1" width="16.83203125" customWidth="1"/>
    <col min="2" max="2" width="10.1640625" bestFit="1" customWidth="1"/>
    <col min="3" max="3" width="8.6640625" bestFit="1" customWidth="1"/>
    <col min="4" max="4" width="10.1640625" bestFit="1" customWidth="1"/>
    <col min="5" max="5" width="8.6640625" bestFit="1" customWidth="1"/>
    <col min="6" max="6" width="10.1640625" bestFit="1" customWidth="1"/>
    <col min="7" max="7" width="8.6640625" bestFit="1" customWidth="1"/>
    <col min="8" max="8" width="10.1640625" bestFit="1" customWidth="1"/>
    <col min="9" max="9" width="8.6640625" bestFit="1" customWidth="1"/>
    <col min="10" max="10" width="10.1640625" bestFit="1" customWidth="1"/>
    <col min="11" max="11" width="8.6640625" bestFit="1" customWidth="1"/>
    <col min="12" max="28" width="10.5" customWidth="1"/>
  </cols>
  <sheetData>
    <row r="1" spans="1:11" ht="24" x14ac:dyDescent="0.3">
      <c r="B1" s="22" t="s">
        <v>17</v>
      </c>
      <c r="C1" s="23"/>
      <c r="D1" s="22" t="s">
        <v>18</v>
      </c>
      <c r="E1" s="23"/>
      <c r="F1" s="22" t="s">
        <v>20</v>
      </c>
      <c r="G1" s="23"/>
      <c r="H1" s="22" t="s">
        <v>19</v>
      </c>
      <c r="I1" s="23"/>
      <c r="J1" s="22" t="s">
        <v>21</v>
      </c>
      <c r="K1" s="23"/>
    </row>
    <row r="2" spans="1:11" ht="13.5" customHeight="1" x14ac:dyDescent="0.2">
      <c r="A2" s="35" t="s">
        <v>14</v>
      </c>
      <c r="B2" s="24" t="s">
        <v>0</v>
      </c>
      <c r="C2" s="25">
        <v>280</v>
      </c>
      <c r="D2" s="24" t="s">
        <v>0</v>
      </c>
      <c r="E2" s="25">
        <v>130</v>
      </c>
      <c r="F2" s="24" t="s">
        <v>0</v>
      </c>
      <c r="G2" s="25">
        <v>18512</v>
      </c>
      <c r="H2" s="24" t="s">
        <v>0</v>
      </c>
      <c r="I2" s="25">
        <v>144</v>
      </c>
      <c r="J2" s="24" t="s">
        <v>0</v>
      </c>
      <c r="K2" s="25">
        <v>1060</v>
      </c>
    </row>
    <row r="3" spans="1:11" ht="15" customHeight="1" x14ac:dyDescent="0.2">
      <c r="A3" s="28"/>
      <c r="B3" s="26" t="s">
        <v>22</v>
      </c>
      <c r="C3" s="27">
        <v>2579</v>
      </c>
      <c r="D3" s="26" t="s">
        <v>22</v>
      </c>
      <c r="E3" s="27">
        <v>6110</v>
      </c>
      <c r="F3" s="26" t="s">
        <v>22</v>
      </c>
      <c r="G3" s="27">
        <v>58537</v>
      </c>
      <c r="H3" s="26" t="s">
        <v>22</v>
      </c>
      <c r="I3" s="27">
        <v>645238</v>
      </c>
      <c r="J3" s="26" t="s">
        <v>22</v>
      </c>
      <c r="K3" s="27">
        <v>224094</v>
      </c>
    </row>
    <row r="4" spans="1:11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16.5" customHeight="1" x14ac:dyDescent="0.2">
      <c r="A5" s="28"/>
      <c r="B5" s="29"/>
      <c r="C5" s="28"/>
      <c r="D5" s="29"/>
      <c r="E5" s="28"/>
      <c r="F5" s="29"/>
      <c r="G5" s="28"/>
      <c r="H5" s="29"/>
      <c r="I5" s="28"/>
      <c r="J5" s="29"/>
      <c r="K5" s="28"/>
    </row>
    <row r="6" spans="1:11" ht="17" x14ac:dyDescent="0.2">
      <c r="A6" s="28"/>
      <c r="B6" s="30" t="s">
        <v>1</v>
      </c>
      <c r="C6" s="31" t="s">
        <v>2</v>
      </c>
      <c r="D6" s="30" t="s">
        <v>1</v>
      </c>
      <c r="E6" s="31" t="s">
        <v>2</v>
      </c>
      <c r="F6" s="30" t="s">
        <v>1</v>
      </c>
      <c r="G6" s="31" t="s">
        <v>2</v>
      </c>
      <c r="H6" s="30" t="s">
        <v>1</v>
      </c>
      <c r="I6" s="31" t="s">
        <v>2</v>
      </c>
      <c r="J6" s="30" t="s">
        <v>1</v>
      </c>
      <c r="K6" s="31" t="s">
        <v>2</v>
      </c>
    </row>
    <row r="7" spans="1:11" ht="17" x14ac:dyDescent="0.2">
      <c r="A7" s="31" t="s">
        <v>5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 ht="17" x14ac:dyDescent="0.2">
      <c r="A8" s="31" t="s">
        <v>6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 ht="17" x14ac:dyDescent="0.2">
      <c r="A9" s="31" t="s">
        <v>7</v>
      </c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1" ht="17" x14ac:dyDescent="0.2">
      <c r="A10" s="31" t="s">
        <v>8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1" spans="1:11" ht="17" x14ac:dyDescent="0.2">
      <c r="A11" s="31" t="s">
        <v>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1" ht="17" x14ac:dyDescent="0.2">
      <c r="A12" s="31" t="s">
        <v>3</v>
      </c>
      <c r="B12" s="33">
        <f>AVERAGE((B7-C$3)/C$3,(B8-C$3)/C$3,(B9-C$3)/C$3,(B10-C$3)/C$3,(B11-C$3)/C$3)</f>
        <v>-1</v>
      </c>
      <c r="C12" s="34" t="e">
        <f>AVERAGE(C7:C11)</f>
        <v>#DIV/0!</v>
      </c>
      <c r="D12" s="33">
        <f>AVERAGE((D7-E$3)/E$3,(D8-E$3)/E$3,(D9-E$3)/E$3,(D10-E$3)/E$3,(D11-E$3)/E$3)</f>
        <v>-1</v>
      </c>
      <c r="E12" s="34" t="e">
        <f>AVERAGE(E7:E11)</f>
        <v>#DIV/0!</v>
      </c>
      <c r="F12" s="33">
        <f>AVERAGE((F7-G$3)/G$3,(F8-G$3)/G$3,(F9-G$3)/G$3,(F10-G$3)/G$3,(F11-G$3)/G$3)</f>
        <v>-1</v>
      </c>
      <c r="G12" s="34" t="e">
        <f>AVERAGE(G7:G11)</f>
        <v>#DIV/0!</v>
      </c>
      <c r="H12" s="33">
        <f>AVERAGE((H7-I$3)/I$3,(H8-I$3)/I$3,(H9-I$3)/I$3,(H10-I$3)/I$3,(H11-I$3)/I$3)</f>
        <v>-1</v>
      </c>
      <c r="I12" s="34" t="e">
        <f>AVERAGE(I7:I11)</f>
        <v>#DIV/0!</v>
      </c>
      <c r="J12" s="33">
        <f>AVERAGE((J7-K$3)/K$3,(J8-K$3)/K$3,(J9-K$3)/K$3,(J10-K$3)/K$3,(J11-K$3)/K$3)</f>
        <v>-1</v>
      </c>
      <c r="K12" s="34" t="e">
        <f>AVERAGE(K7:K11)</f>
        <v>#DIV/0!</v>
      </c>
    </row>
    <row r="13" spans="1:11" ht="17" x14ac:dyDescent="0.2">
      <c r="A13" s="31" t="s">
        <v>10</v>
      </c>
      <c r="B13" s="34">
        <f>STDEV((B7-C$3)/C$3,(B8-C$3)/C$3,(B9-C$3)/C$3,(B10-C$3)/C$3,(B11-C$3)/C$3)</f>
        <v>0</v>
      </c>
      <c r="C13" s="34" t="e">
        <f>STDEV(C7:C11)</f>
        <v>#DIV/0!</v>
      </c>
      <c r="D13" s="34">
        <f>STDEV((D7-E$3)/E$3,(D8-E$3)/E$3,(D9-E$3)/E$3,(D10-E$3)/E$3,(D11-E$3)/E$3)</f>
        <v>0</v>
      </c>
      <c r="E13" s="34" t="e">
        <f>STDEV(E7:E11)</f>
        <v>#DIV/0!</v>
      </c>
      <c r="F13" s="34">
        <f>STDEV((F7-G$3)/G$3,(F8-G$3)/G$3,(F9-G$3)/G$3,(F10-G$3)/G$3,(F11-G$3)/G$3)</f>
        <v>0</v>
      </c>
      <c r="G13" s="34" t="e">
        <f>STDEV(G7:G11)</f>
        <v>#DIV/0!</v>
      </c>
      <c r="H13" s="34">
        <f>STDEV((H7-I$3)/I$3,(H8-I$3)/I$3,(H9-I$3)/I$3,(H10-I$3)/I$3,(H11-I$3)/I$3)</f>
        <v>0</v>
      </c>
      <c r="I13" s="34" t="e">
        <f>STDEV(I7:I11)</f>
        <v>#DIV/0!</v>
      </c>
      <c r="J13" s="34">
        <f>STDEV((J7-K$3)/K$3,(J8-K$3)/K$3,(J9-K$3)/K$3,(J10-K$3)/K$3,(J11-K$3)/K$3)</f>
        <v>0</v>
      </c>
      <c r="K13" s="34" t="e">
        <f>STDEV(K7:K11)</f>
        <v>#DIV/0!</v>
      </c>
    </row>
    <row r="15" spans="1:11" ht="26" x14ac:dyDescent="0.3">
      <c r="A15" s="4" t="s">
        <v>11</v>
      </c>
    </row>
    <row r="17" spans="1:13" ht="15" customHeight="1" thickBot="1" x14ac:dyDescent="0.25"/>
    <row r="18" spans="1:13" ht="15" customHeight="1" thickTop="1" thickBot="1" x14ac:dyDescent="0.25">
      <c r="A18" s="18"/>
      <c r="B18" s="20" t="s">
        <v>17</v>
      </c>
      <c r="C18" s="17"/>
      <c r="D18" s="13" t="s">
        <v>18</v>
      </c>
      <c r="E18" s="14"/>
      <c r="F18" s="21" t="s">
        <v>20</v>
      </c>
      <c r="G18" s="17"/>
      <c r="H18" s="13" t="s">
        <v>19</v>
      </c>
      <c r="I18" s="14"/>
      <c r="J18" s="13" t="s">
        <v>21</v>
      </c>
      <c r="K18" s="14"/>
      <c r="L18" s="15" t="s">
        <v>12</v>
      </c>
      <c r="M18" s="16"/>
    </row>
    <row r="19" spans="1:13" ht="15.75" customHeight="1" thickBot="1" x14ac:dyDescent="0.25">
      <c r="A19" s="19"/>
      <c r="B19" s="12" t="s">
        <v>23</v>
      </c>
      <c r="C19" s="1" t="s">
        <v>2</v>
      </c>
      <c r="D19" s="12" t="s">
        <v>23</v>
      </c>
      <c r="E19" s="2" t="s">
        <v>2</v>
      </c>
      <c r="F19" s="12" t="s">
        <v>23</v>
      </c>
      <c r="G19" s="1" t="s">
        <v>2</v>
      </c>
      <c r="H19" s="12" t="s">
        <v>23</v>
      </c>
      <c r="I19" s="2" t="s">
        <v>2</v>
      </c>
      <c r="J19" s="12" t="s">
        <v>23</v>
      </c>
      <c r="K19" s="2" t="s">
        <v>2</v>
      </c>
      <c r="L19" s="5" t="s">
        <v>13</v>
      </c>
      <c r="M19" s="6" t="s">
        <v>2</v>
      </c>
    </row>
    <row r="20" spans="1:13" ht="15.75" customHeight="1" thickTop="1" thickBot="1" x14ac:dyDescent="0.25">
      <c r="A20" s="7" t="s">
        <v>14</v>
      </c>
      <c r="B20" s="3">
        <f>B12</f>
        <v>-1</v>
      </c>
      <c r="C20" s="3" t="e">
        <f t="shared" ref="C20:K20" si="0">C12</f>
        <v>#DIV/0!</v>
      </c>
      <c r="D20" s="3">
        <f t="shared" si="0"/>
        <v>-1</v>
      </c>
      <c r="E20" s="3" t="e">
        <f t="shared" si="0"/>
        <v>#DIV/0!</v>
      </c>
      <c r="F20" s="3">
        <f t="shared" si="0"/>
        <v>-1</v>
      </c>
      <c r="G20" s="3" t="e">
        <f t="shared" si="0"/>
        <v>#DIV/0!</v>
      </c>
      <c r="H20" s="3">
        <f t="shared" si="0"/>
        <v>-1</v>
      </c>
      <c r="I20" s="3" t="e">
        <f t="shared" si="0"/>
        <v>#DIV/0!</v>
      </c>
      <c r="J20" s="3">
        <f t="shared" si="0"/>
        <v>-1</v>
      </c>
      <c r="K20" s="3" t="e">
        <f t="shared" si="0"/>
        <v>#DIV/0!</v>
      </c>
      <c r="L20" s="8">
        <f>AVERAGE(B20,D20,F20,H20,J20)</f>
        <v>-1</v>
      </c>
      <c r="M20" s="8" t="e">
        <f>AVERAGE(C20,E20,G20,I20,K20)</f>
        <v>#DIV/0!</v>
      </c>
    </row>
    <row r="21" spans="1:13" ht="15.75" customHeight="1" thickBot="1" x14ac:dyDescent="0.25">
      <c r="A21" s="7" t="s">
        <v>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8"/>
      <c r="M21" s="9"/>
    </row>
    <row r="22" spans="1:13" ht="15.75" customHeight="1" thickBot="1" x14ac:dyDescent="0.25">
      <c r="A22" s="10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8"/>
      <c r="M22" s="9"/>
    </row>
    <row r="23" spans="1:13" ht="15.75" customHeight="1" thickTop="1" thickBot="1" x14ac:dyDescent="0.25">
      <c r="A23" s="10" t="s">
        <v>16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8"/>
      <c r="M23" s="9"/>
    </row>
    <row r="24" spans="1:13" ht="15.75" customHeight="1" thickTop="1" x14ac:dyDescent="0.2"/>
    <row r="25" spans="1:13" ht="15.75" customHeight="1" x14ac:dyDescent="0.3">
      <c r="A25" s="4"/>
    </row>
    <row r="26" spans="1:13" ht="15.75" customHeight="1" x14ac:dyDescent="0.3">
      <c r="A26" s="4"/>
    </row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28">
    <mergeCell ref="J1:K1"/>
    <mergeCell ref="J3:J4"/>
    <mergeCell ref="K3:K4"/>
    <mergeCell ref="J5:K5"/>
    <mergeCell ref="J18:K18"/>
    <mergeCell ref="B1:C1"/>
    <mergeCell ref="D1:E1"/>
    <mergeCell ref="F1:G1"/>
    <mergeCell ref="H1:I1"/>
    <mergeCell ref="H3:H4"/>
    <mergeCell ref="I3:I4"/>
    <mergeCell ref="B3:B4"/>
    <mergeCell ref="C3:C4"/>
    <mergeCell ref="D3:D4"/>
    <mergeCell ref="E3:E4"/>
    <mergeCell ref="F3:F4"/>
    <mergeCell ref="A2:A6"/>
    <mergeCell ref="A18:A19"/>
    <mergeCell ref="B18:C18"/>
    <mergeCell ref="D18:E18"/>
    <mergeCell ref="F18:G18"/>
    <mergeCell ref="F5:G5"/>
    <mergeCell ref="G3:G4"/>
    <mergeCell ref="H18:I18"/>
    <mergeCell ref="L18:M18"/>
    <mergeCell ref="B5:C5"/>
    <mergeCell ref="D5:E5"/>
    <mergeCell ref="H5:I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ocordon</dc:creator>
  <cp:lastModifiedBy>Microsoft Office User</cp:lastModifiedBy>
  <dcterms:created xsi:type="dcterms:W3CDTF">2013-03-05T10:35:34Z</dcterms:created>
  <dcterms:modified xsi:type="dcterms:W3CDTF">2024-10-01T08:02:10Z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