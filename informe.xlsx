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parativa" sheetId="2" state="visible" r:id="rId4"/>
    <sheet name="Busqueda_local" sheetId="3" state="visible" r:id="rId5"/>
    <sheet name="Greedy" sheetId="4" state="visible" r:id="rId6"/>
    <sheet name="Greedy_aleato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<sst xmlns="http://schemas.openxmlformats.org/spreadsheetml/2006/main" count="85" uniqueCount="28">
  <si>
    <t xml:space="preserve">Fichero</t>
  </si>
  <si>
    <t xml:space="preserve">Nº nodos</t>
  </si>
  <si>
    <t xml:space="preserve">Greedy</t>
  </si>
  <si>
    <t xml:space="preserve">Greedy aleatorio (media)</t>
  </si>
  <si>
    <t xml:space="preserve">Búsqueda local (media)</t>
  </si>
  <si>
    <t xml:space="preserve">Búsqueda local (mejor)</t>
  </si>
  <si>
    <t xml:space="preserve">Búsqueda local (peor)</t>
  </si>
  <si>
    <t xml:space="preserve">Mejora BL media vs Greedy</t>
  </si>
  <si>
    <t xml:space="preserve">T. Greedy (s)</t>
  </si>
  <si>
    <t xml:space="preserve">T. Greedy aleat. medio (s)</t>
  </si>
  <si>
    <t xml:space="preserve">T. BL medio (s)</t>
  </si>
  <si>
    <t xml:space="preserve">a280</t>
  </si>
  <si>
    <t xml:space="preserve">pr144</t>
  </si>
  <si>
    <t xml:space="preserve">ch130</t>
  </si>
  <si>
    <t xml:space="preserve">u1060</t>
  </si>
  <si>
    <t xml:space="preserve">d18512</t>
  </si>
  <si>
    <t xml:space="preserve">Nota: los datos proceden de la salida de main.py; las medias, mínimos y máximos se calculan con fórmulas sobre las hojas de detalle.</t>
  </si>
  <si>
    <t xml:space="preserve">Distancia total</t>
  </si>
  <si>
    <t xml:space="preserve">Mejor en distancia</t>
  </si>
  <si>
    <t xml:space="preserve">Coste relativo (Greedy = 100 %)</t>
  </si>
  <si>
    <t xml:space="preserve">Tiempo de ejecución (s)</t>
  </si>
  <si>
    <t xml:space="preserve">Tiempo BL / Greedy (x)</t>
  </si>
  <si>
    <t xml:space="preserve">Greedy aleatorio</t>
  </si>
  <si>
    <t xml:space="preserve">Búsqueda local</t>
  </si>
  <si>
    <t xml:space="preserve">En verde: mejor valor de cada fila (menor distancia / menor tiempo). Greedy aleatorio y Búsqueda local usan la media de sus 3 ejecuciones (hoja Resumen).</t>
  </si>
  <si>
    <t xml:space="preserve">Ejecución</t>
  </si>
  <si>
    <t xml:space="preserve">Semilla</t>
  </si>
  <si>
    <t xml:space="preserve">Tiempo (s)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</si>
</sst>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0.0%"/>
    <numFmt numFmtId="168" formatCode="0.000000"/>
    <numFmt numFmtId="169" formatCode="0%"/>
    <numFmt numFmtId="170" formatCode="0"/>
    <numFmt numFmtId="171" formatCode="#,##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Coste relativo al Greedy (menor es mejor)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Comparativa!G2</c:f>
              <c:strCache>
                <c:ptCount val="1"/>
                <c:pt idx="0">
                  <c:v>Greedy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Comparativa!$A$3:$A$7</c:f>
              <c:strCache>
                <c:ptCount val="5"/>
                <c:pt idx="0">
                  <c:v>a280</c:v>
                </c:pt>
                <c:pt idx="1">
                  <c:v>pr144</c:v>
                </c:pt>
                <c:pt idx="2">
                  <c:v>ch130</c:v>
                </c:pt>
                <c:pt idx="3">
                  <c:v>u1060</c:v>
                </c:pt>
                <c:pt idx="4">
                  <c:v>d18512</c:v>
                </c:pt>
              </c:strCache>
            </c:strRef>
          </c:cat>
          <c:val>
            <c:numRef>
              <c:f>Comparativa!$G$3:$G$7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Comparativa!H2</c:f>
              <c:strCache>
                <c:ptCount val="1"/>
                <c:pt idx="0">
                  <c:v>Greedy aleatorio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Comparativa!$A$3:$A$7</c:f>
              <c:strCache>
                <c:ptCount val="5"/>
                <c:pt idx="0">
                  <c:v>a280</c:v>
                </c:pt>
                <c:pt idx="1">
                  <c:v>pr144</c:v>
                </c:pt>
                <c:pt idx="2">
                  <c:v>ch130</c:v>
                </c:pt>
                <c:pt idx="3">
                  <c:v>u1060</c:v>
                </c:pt>
                <c:pt idx="4">
                  <c:v>d18512</c:v>
                </c:pt>
              </c:strCache>
            </c:strRef>
          </c:cat>
          <c:val>
            <c:numRef>
              <c:f>Comparativa!$H$3:$H$7</c:f>
              <c:numCache>
                <c:formatCode>0.0%</c:formatCode>
                <c:ptCount val="5"/>
                <c:pt idx="0">
                  <c:v>0.989931389767852</c:v>
                </c:pt>
                <c:pt idx="1">
                  <c:v>1.0324156105982</c:v>
                </c:pt>
                <c:pt idx="2">
                  <c:v>1.03256809585966</c:v>
                </c:pt>
                <c:pt idx="3">
                  <c:v>0.978465226658897</c:v>
                </c:pt>
                <c:pt idx="4">
                  <c:v>1.00157667284779</c:v>
                </c:pt>
              </c:numCache>
            </c:numRef>
          </c:val>
        </c:ser>
        <c:ser>
          <c:idx val="2"/>
          <c:order val="2"/>
          <c:tx>
            <c:strRef>
              <c:f>Comparativa!I2</c:f>
              <c:strCache>
                <c:ptCount val="1"/>
                <c:pt idx="0">
                  <c:v>Búsqueda local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Comparativa!$A$3:$A$7</c:f>
              <c:strCache>
                <c:ptCount val="5"/>
                <c:pt idx="0">
                  <c:v>a280</c:v>
                </c:pt>
                <c:pt idx="1">
                  <c:v>pr144</c:v>
                </c:pt>
                <c:pt idx="2">
                  <c:v>ch130</c:v>
                </c:pt>
                <c:pt idx="3">
                  <c:v>u1060</c:v>
                </c:pt>
                <c:pt idx="4">
                  <c:v>d18512</c:v>
                </c:pt>
              </c:strCache>
            </c:strRef>
          </c:cat>
          <c:val>
            <c:numRef>
              <c:f>Comparativa!$I$3:$I$7</c:f>
              <c:numCache>
                <c:formatCode>0.0%</c:formatCode>
                <c:ptCount val="5"/>
                <c:pt idx="0">
                  <c:v>0.223576017070342</c:v>
                </c:pt>
                <c:pt idx="1">
                  <c:v>0.338031222939089</c:v>
                </c:pt>
                <c:pt idx="2">
                  <c:v>0.320347153454357</c:v>
                </c:pt>
                <c:pt idx="3">
                  <c:v>0.132319673047667</c:v>
                </c:pt>
                <c:pt idx="4">
                  <c:v>0.983562245210606</c:v>
                </c:pt>
              </c:numCache>
            </c:numRef>
          </c:val>
        </c:ser>
        <c:gapWidth val="150"/>
        <c:overlap val="0"/>
        <c:axId val="89397856"/>
        <c:axId val="86991202"/>
      </c:barChart>
      <c:catAx>
        <c:axId val="8939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91202"/>
        <c:crosses val="autoZero"/>
        <c:auto val="1"/>
        <c:lblAlgn val="ctr"/>
        <c:lblOffset val="100"/>
        <c:noMultiLvlLbl val="0"/>
      </c:catAx>
      <c:valAx>
        <c:axId val="869912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del coste Greedy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78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Tiempo de ejecución (escala logarítmica)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Comparativa!J2</c:f>
              <c:strCache>
                <c:ptCount val="1"/>
                <c:pt idx="0">
                  <c:v>Greedy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Comparativa!$A$3:$A$7</c:f>
              <c:strCache>
                <c:ptCount val="5"/>
                <c:pt idx="0">
                  <c:v>a280</c:v>
                </c:pt>
                <c:pt idx="1">
                  <c:v>pr144</c:v>
                </c:pt>
                <c:pt idx="2">
                  <c:v>ch130</c:v>
                </c:pt>
                <c:pt idx="3">
                  <c:v>u1060</c:v>
                </c:pt>
                <c:pt idx="4">
                  <c:v>d18512</c:v>
                </c:pt>
              </c:strCache>
            </c:strRef>
          </c:cat>
          <c:val>
            <c:numRef>
              <c:f>Comparativa!$J$3:$J$7</c:f>
              <c:numCache>
                <c:formatCode>0.000000</c:formatCode>
                <c:ptCount val="5"/>
                <c:pt idx="0">
                  <c:v>0.004384</c:v>
                </c:pt>
                <c:pt idx="1">
                  <c:v>0.001409</c:v>
                </c:pt>
                <c:pt idx="2">
                  <c:v>0.001186</c:v>
                </c:pt>
                <c:pt idx="3">
                  <c:v>0.058674</c:v>
                </c:pt>
                <c:pt idx="4">
                  <c:v>17.442012</c:v>
                </c:pt>
              </c:numCache>
            </c:numRef>
          </c:val>
        </c:ser>
        <c:ser>
          <c:idx val="1"/>
          <c:order val="1"/>
          <c:tx>
            <c:strRef>
              <c:f>Comparativa!K2</c:f>
              <c:strCache>
                <c:ptCount val="1"/>
                <c:pt idx="0">
                  <c:v>Greedy aleatorio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Comparativa!$A$3:$A$7</c:f>
              <c:strCache>
                <c:ptCount val="5"/>
                <c:pt idx="0">
                  <c:v>a280</c:v>
                </c:pt>
                <c:pt idx="1">
                  <c:v>pr144</c:v>
                </c:pt>
                <c:pt idx="2">
                  <c:v>ch130</c:v>
                </c:pt>
                <c:pt idx="3">
                  <c:v>u1060</c:v>
                </c:pt>
                <c:pt idx="4">
                  <c:v>d18512</c:v>
                </c:pt>
              </c:strCache>
            </c:strRef>
          </c:cat>
          <c:val>
            <c:numRef>
              <c:f>Comparativa!$K$3:$K$7</c:f>
              <c:numCache>
                <c:formatCode>0.000000</c:formatCode>
                <c:ptCount val="5"/>
                <c:pt idx="0">
                  <c:v>0.00676933333333333</c:v>
                </c:pt>
                <c:pt idx="1">
                  <c:v>0.001856</c:v>
                </c:pt>
                <c:pt idx="2">
                  <c:v>0.00149166666666667</c:v>
                </c:pt>
                <c:pt idx="3">
                  <c:v>0.089433</c:v>
                </c:pt>
                <c:pt idx="4">
                  <c:v>28.2915266666667</c:v>
                </c:pt>
              </c:numCache>
            </c:numRef>
          </c:val>
        </c:ser>
        <c:ser>
          <c:idx val="2"/>
          <c:order val="2"/>
          <c:tx>
            <c:strRef>
              <c:f>Comparativa!L2</c:f>
              <c:strCache>
                <c:ptCount val="1"/>
                <c:pt idx="0">
                  <c:v>Búsqueda local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Comparativa!$A$3:$A$7</c:f>
              <c:strCache>
                <c:ptCount val="5"/>
                <c:pt idx="0">
                  <c:v>a280</c:v>
                </c:pt>
                <c:pt idx="1">
                  <c:v>pr144</c:v>
                </c:pt>
                <c:pt idx="2">
                  <c:v>ch130</c:v>
                </c:pt>
                <c:pt idx="3">
                  <c:v>u1060</c:v>
                </c:pt>
                <c:pt idx="4">
                  <c:v>d18512</c:v>
                </c:pt>
              </c:strCache>
            </c:strRef>
          </c:cat>
          <c:val>
            <c:numRef>
              <c:f>Comparativa!$L$3:$L$7</c:f>
              <c:numCache>
                <c:formatCode>0.000000</c:formatCode>
                <c:ptCount val="5"/>
                <c:pt idx="0">
                  <c:v>0.639563333333333</c:v>
                </c:pt>
                <c:pt idx="1">
                  <c:v>0.121134333333333</c:v>
                </c:pt>
                <c:pt idx="2">
                  <c:v>0.107797666666667</c:v>
                </c:pt>
                <c:pt idx="3">
                  <c:v>12.9388453333333</c:v>
                </c:pt>
                <c:pt idx="4">
                  <c:v>113.698958333333</c:v>
                </c:pt>
              </c:numCache>
            </c:numRef>
          </c:val>
        </c:ser>
        <c:gapWidth val="150"/>
        <c:overlap val="0"/>
        <c:axId val="53691853"/>
        <c:axId val="45101994"/>
      </c:barChart>
      <c:catAx>
        <c:axId val="536918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01994"/>
        <c:crosses val="autoZero"/>
        <c:auto val="1"/>
        <c:lblAlgn val="ctr"/>
        <c:lblOffset val="100"/>
        <c:noMultiLvlLbl val="0"/>
      </c:catAx>
      <c:valAx>
        <c:axId val="45101994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Segundos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918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903600</xdr:colOff>
      <xdr:row>25</xdr:row>
      <xdr:rowOff>11520</xdr:rowOff>
    </xdr:to>
    <xdr:graphicFrame>
      <xdr:nvGraphicFramePr>
        <xdr:cNvPr id="0" name="Chart 1"/>
        <xdr:cNvGraphicFramePr/>
      </xdr:nvGraphicFramePr>
      <xdr:xfrm>
        <a:off x="0" y="20192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621720</xdr:colOff>
      <xdr:row>25</xdr:row>
      <xdr:rowOff>11520</xdr:rowOff>
    </xdr:to>
    <xdr:graphicFrame>
      <xdr:nvGraphicFramePr>
        <xdr:cNvPr id="1" name="Chart 2"/>
        <xdr:cNvGraphicFramePr/>
      </xdr:nvGraphicFramePr>
      <xdr:xfrm>
        <a:off x="7330320" y="20192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7" min="4" style="1" width="18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4" t="n">
        <f aca="false">INDEX(Greedy!$B$2:$B$6,MATCH(A2,Greedy!$A$2:$A$6,0))</f>
        <v>280</v>
      </c>
      <c r="C2" s="5" t="n">
        <f aca="false">INDEX(Greedy!$C$2:$C$6,MATCH(A2,Greedy!$A$2:$A$6,0))</f>
        <v>30296.8203125</v>
      </c>
      <c r="D2" s="5" t="n">
        <f aca="false">AVERAGEIFS(Greedy_aleatorio!$E$2:$E$16,Greedy_aleatorio!$A$2:$A$16,A2)</f>
        <v>29991.7734375</v>
      </c>
      <c r="E2" s="5" t="n">
        <f aca="false">AVERAGEIFS(Busqueda_local!$E$2:$E$16,Busqueda_local!$A$2:$A$16,A2)</f>
        <v>6773.64241536458</v>
      </c>
      <c r="F2" s="5" t="n">
        <f aca="false">_xlfn.MINIFS(Busqueda_local!$E$2:$E$16,Busqueda_local!$A$2:$A$16,A2)</f>
        <v>6092.5986328125</v>
      </c>
      <c r="G2" s="5" t="n">
        <f aca="false">_xlfn.MAXIFS(Busqueda_local!$E$2:$E$16,Busqueda_local!$A$2:$A$16,A2)</f>
        <v>7380.2490234375</v>
      </c>
      <c r="H2" s="6" t="n">
        <f aca="false">1-E2/C2</f>
        <v>0.776423982929658</v>
      </c>
      <c r="I2" s="7" t="n">
        <f aca="false">INDEX(Greedy!$D$2:$D$6,MATCH(A2,Greedy!$A$2:$A$6,0))</f>
        <v>0.004384</v>
      </c>
      <c r="J2" s="7" t="n">
        <f aca="false">AVERAGEIFS(Greedy_aleatorio!$F$2:$F$16,Greedy_aleatorio!$A$2:$A$16,A2)</f>
        <v>0.00676933333333333</v>
      </c>
      <c r="K2" s="7" t="n">
        <f aca="false">AVERAGEIFS(Busqueda_local!$F$2:$F$16,Busqueda_local!$A$2:$A$16,A2)</f>
        <v>0.639563333333333</v>
      </c>
    </row>
    <row r="3" customFormat="false" ht="15" hidden="false" customHeight="true" outlineLevel="0" collapsed="false">
      <c r="A3" s="3" t="s">
        <v>12</v>
      </c>
      <c r="B3" s="4" t="n">
        <f aca="false">INDEX(Greedy!$B$2:$B$6,MATCH(A3,Greedy!$A$2:$A$6,0))</f>
        <v>144</v>
      </c>
      <c r="C3" s="5" t="n">
        <f aca="false">INDEX(Greedy!$C$2:$C$6,MATCH(A3,Greedy!$A$2:$A$6,0))</f>
        <v>640770.875</v>
      </c>
      <c r="D3" s="5" t="n">
        <f aca="false">AVERAGEIFS(Greedy_aleatorio!$E$2:$E$16,Greedy_aleatorio!$A$2:$A$16,A3)</f>
        <v>661541.854166667</v>
      </c>
      <c r="E3" s="5" t="n">
        <f aca="false">AVERAGEIFS(Busqueda_local!$E$2:$E$16,Busqueda_local!$A$2:$A$16,A3)</f>
        <v>216600.5625</v>
      </c>
      <c r="F3" s="5" t="n">
        <f aca="false">_xlfn.MINIFS(Busqueda_local!$E$2:$E$16,Busqueda_local!$A$2:$A$16,A3)</f>
        <v>204411.5</v>
      </c>
      <c r="G3" s="5" t="n">
        <f aca="false">_xlfn.MAXIFS(Busqueda_local!$E$2:$E$16,Busqueda_local!$A$2:$A$16,A3)</f>
        <v>222961.34375</v>
      </c>
      <c r="H3" s="6" t="n">
        <f aca="false">1-E3/C3</f>
        <v>0.661968777060911</v>
      </c>
      <c r="I3" s="7" t="n">
        <f aca="false">INDEX(Greedy!$D$2:$D$6,MATCH(A3,Greedy!$A$2:$A$6,0))</f>
        <v>0.001409</v>
      </c>
      <c r="J3" s="7" t="n">
        <f aca="false">AVERAGEIFS(Greedy_aleatorio!$F$2:$F$16,Greedy_aleatorio!$A$2:$A$16,A3)</f>
        <v>0.001856</v>
      </c>
      <c r="K3" s="7" t="n">
        <f aca="false">AVERAGEIFS(Busqueda_local!$F$2:$F$16,Busqueda_local!$A$2:$A$16,A3)</f>
        <v>0.121134333333333</v>
      </c>
    </row>
    <row r="4" customFormat="false" ht="15" hidden="false" customHeight="true" outlineLevel="0" collapsed="false">
      <c r="A4" s="3" t="s">
        <v>13</v>
      </c>
      <c r="B4" s="4" t="n">
        <f aca="false">INDEX(Greedy!$B$2:$B$6,MATCH(A4,Greedy!$A$2:$A$6,0))</f>
        <v>130</v>
      </c>
      <c r="C4" s="5" t="n">
        <f aca="false">INDEX(Greedy!$C$2:$C$6,MATCH(A4,Greedy!$A$2:$A$6,0))</f>
        <v>40397.48828125</v>
      </c>
      <c r="D4" s="5" t="n">
        <f aca="false">AVERAGEIFS(Greedy_aleatorio!$E$2:$E$16,Greedy_aleatorio!$A$2:$A$16,A4)</f>
        <v>41713.1575520833</v>
      </c>
      <c r="E4" s="5" t="n">
        <f aca="false">AVERAGEIFS(Busqueda_local!$E$2:$E$16,Busqueda_local!$A$2:$A$16,A4)</f>
        <v>12941.2203776042</v>
      </c>
      <c r="F4" s="5" t="n">
        <f aca="false">_xlfn.MINIFS(Busqueda_local!$E$2:$E$16,Busqueda_local!$A$2:$A$16,A4)</f>
        <v>12099.931640625</v>
      </c>
      <c r="G4" s="5" t="n">
        <f aca="false">_xlfn.MAXIFS(Busqueda_local!$E$2:$E$16,Busqueda_local!$A$2:$A$16,A4)</f>
        <v>14014.5244140625</v>
      </c>
      <c r="H4" s="6" t="n">
        <f aca="false">1-E4/C4</f>
        <v>0.679652846545643</v>
      </c>
      <c r="I4" s="7" t="n">
        <f aca="false">INDEX(Greedy!$D$2:$D$6,MATCH(A4,Greedy!$A$2:$A$6,0))</f>
        <v>0.001186</v>
      </c>
      <c r="J4" s="7" t="n">
        <f aca="false">AVERAGEIFS(Greedy_aleatorio!$F$2:$F$16,Greedy_aleatorio!$A$2:$A$16,A4)</f>
        <v>0.00149166666666667</v>
      </c>
      <c r="K4" s="7" t="n">
        <f aca="false">AVERAGEIFS(Busqueda_local!$F$2:$F$16,Busqueda_local!$A$2:$A$16,A4)</f>
        <v>0.107797666666667</v>
      </c>
    </row>
    <row r="5" customFormat="false" ht="15" hidden="false" customHeight="true" outlineLevel="0" collapsed="false">
      <c r="A5" s="3" t="s">
        <v>14</v>
      </c>
      <c r="B5" s="4" t="n">
        <f aca="false">INDEX(Greedy!$B$2:$B$6,MATCH(A5,Greedy!$A$2:$A$6,0))</f>
        <v>1060</v>
      </c>
      <c r="C5" s="5" t="n">
        <f aca="false">INDEX(Greedy!$C$2:$C$6,MATCH(A5,Greedy!$A$2:$A$6,0))</f>
        <v>5670062</v>
      </c>
      <c r="D5" s="5" t="n">
        <f aca="false">AVERAGEIFS(Greedy_aleatorio!$E$2:$E$16,Greedy_aleatorio!$A$2:$A$16,A5)</f>
        <v>5547958.5</v>
      </c>
      <c r="E5" s="5" t="n">
        <f aca="false">AVERAGEIFS(Busqueda_local!$E$2:$E$16,Busqueda_local!$A$2:$A$16,A5)</f>
        <v>750260.75</v>
      </c>
      <c r="F5" s="5" t="n">
        <f aca="false">_xlfn.MINIFS(Busqueda_local!$E$2:$E$16,Busqueda_local!$A$2:$A$16,A5)</f>
        <v>669469.4375</v>
      </c>
      <c r="G5" s="5" t="n">
        <f aca="false">_xlfn.MAXIFS(Busqueda_local!$E$2:$E$16,Busqueda_local!$A$2:$A$16,A5)</f>
        <v>813683.6875</v>
      </c>
      <c r="H5" s="6" t="n">
        <f aca="false">1-E5/C5</f>
        <v>0.867680326952333</v>
      </c>
      <c r="I5" s="7" t="n">
        <f aca="false">INDEX(Greedy!$D$2:$D$6,MATCH(A5,Greedy!$A$2:$A$6,0))</f>
        <v>0.058674</v>
      </c>
      <c r="J5" s="7" t="n">
        <f aca="false">AVERAGEIFS(Greedy_aleatorio!$F$2:$F$16,Greedy_aleatorio!$A$2:$A$16,A5)</f>
        <v>0.089433</v>
      </c>
      <c r="K5" s="7" t="n">
        <f aca="false">AVERAGEIFS(Busqueda_local!$F$2:$F$16,Busqueda_local!$A$2:$A$16,A5)</f>
        <v>12.9388453333333</v>
      </c>
    </row>
    <row r="6" customFormat="false" ht="15" hidden="false" customHeight="true" outlineLevel="0" collapsed="false">
      <c r="A6" s="3" t="s">
        <v>15</v>
      </c>
      <c r="B6" s="4" t="n">
        <f aca="false">INDEX(Greedy!$B$2:$B$6,MATCH(A6,Greedy!$A$2:$A$6,0))</f>
        <v>18512</v>
      </c>
      <c r="C6" s="5" t="n">
        <f aca="false">INDEX(Greedy!$C$2:$C$6,MATCH(A6,Greedy!$A$2:$A$6,0))</f>
        <v>51328340</v>
      </c>
      <c r="D6" s="5" t="n">
        <f aca="false">AVERAGEIFS(Greedy_aleatorio!$E$2:$E$16,Greedy_aleatorio!$A$2:$A$16,A6)</f>
        <v>51409268</v>
      </c>
      <c r="E6" s="5" t="n">
        <f aca="false">AVERAGEIFS(Busqueda_local!$E$2:$E$16,Busqueda_local!$A$2:$A$16,A6)</f>
        <v>50484617.3333333</v>
      </c>
      <c r="F6" s="5" t="n">
        <f aca="false">_xlfn.MINIFS(Busqueda_local!$E$2:$E$16,Busqueda_local!$A$2:$A$16,A6)</f>
        <v>49904440</v>
      </c>
      <c r="G6" s="5" t="n">
        <f aca="false">_xlfn.MAXIFS(Busqueda_local!$E$2:$E$16,Busqueda_local!$A$2:$A$16,A6)</f>
        <v>50855556</v>
      </c>
      <c r="H6" s="6" t="n">
        <f aca="false">1-E6/C6</f>
        <v>0.0164377547893944</v>
      </c>
      <c r="I6" s="7" t="n">
        <f aca="false">INDEX(Greedy!$D$2:$D$6,MATCH(A6,Greedy!$A$2:$A$6,0))</f>
        <v>17.442012</v>
      </c>
      <c r="J6" s="7" t="n">
        <f aca="false">AVERAGEIFS(Greedy_aleatorio!$F$2:$F$16,Greedy_aleatorio!$A$2:$A$16,A6)</f>
        <v>28.2915266666667</v>
      </c>
      <c r="K6" s="7" t="n">
        <f aca="false">AVERAGEIFS(Busqueda_local!$F$2:$F$16,Busqueda_local!$A$2:$A$16,A6)</f>
        <v>113.698958333333</v>
      </c>
    </row>
    <row r="8" customFormat="false" ht="15" hidden="false" customHeight="true" outlineLevel="0" collapsed="false">
      <c r="A8" s="8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2" min="11" style="0" width="16"/>
    <col collapsed="false" customWidth="true" hidden="false" outlineLevel="0" max="13" min="13" style="0" width="14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17</v>
      </c>
      <c r="D1" s="2"/>
      <c r="E1" s="2"/>
      <c r="F1" s="2" t="s">
        <v>18</v>
      </c>
      <c r="G1" s="2" t="s">
        <v>19</v>
      </c>
      <c r="H1" s="2"/>
      <c r="I1" s="2"/>
      <c r="J1" s="2" t="s">
        <v>20</v>
      </c>
      <c r="K1" s="2"/>
      <c r="L1" s="2"/>
      <c r="M1" s="2" t="s">
        <v>21</v>
      </c>
    </row>
    <row r="2" customFormat="false" ht="30" hidden="false" customHeight="true" outlineLevel="0" collapsed="false">
      <c r="A2" s="2"/>
      <c r="B2" s="2"/>
      <c r="C2" s="9" t="s">
        <v>2</v>
      </c>
      <c r="D2" s="9" t="s">
        <v>22</v>
      </c>
      <c r="E2" s="9" t="s">
        <v>23</v>
      </c>
      <c r="F2" s="2"/>
      <c r="G2" s="9" t="s">
        <v>2</v>
      </c>
      <c r="H2" s="9" t="s">
        <v>22</v>
      </c>
      <c r="I2" s="9" t="s">
        <v>23</v>
      </c>
      <c r="J2" s="9" t="s">
        <v>2</v>
      </c>
      <c r="K2" s="9" t="s">
        <v>22</v>
      </c>
      <c r="L2" s="9" t="s">
        <v>23</v>
      </c>
      <c r="M2" s="2"/>
    </row>
    <row r="3" customFormat="false" ht="15" hidden="false" customHeight="false" outlineLevel="0" collapsed="false">
      <c r="A3" s="3" t="str">
        <f aca="false">Resumen!A2</f>
        <v>a280</v>
      </c>
      <c r="B3" s="10" t="n">
        <f aca="false">Resumen!B2</f>
        <v>280</v>
      </c>
      <c r="C3" s="11" t="n">
        <f aca="false">Resumen!C2</f>
        <v>30296.8203125</v>
      </c>
      <c r="D3" s="11" t="n">
        <f aca="false">Resumen!D2</f>
        <v>29991.7734375</v>
      </c>
      <c r="E3" s="11" t="n">
        <f aca="false">Resumen!E2</f>
        <v>6773.64241536458</v>
      </c>
      <c r="F3" s="3" t="str">
        <f aca="false">INDEX($C$2:$E$2,MATCH(MIN(C3:E3),C3:E3,0))</f>
        <v>Búsqueda local</v>
      </c>
      <c r="G3" s="12" t="n">
        <f aca="false">C3/$C3</f>
        <v>1</v>
      </c>
      <c r="H3" s="12" t="n">
        <f aca="false">D3/$C3</f>
        <v>0.989931389767852</v>
      </c>
      <c r="I3" s="12" t="n">
        <f aca="false">E3/$C3</f>
        <v>0.223576017070342</v>
      </c>
      <c r="J3" s="13" t="n">
        <f aca="false">Resumen!I2</f>
        <v>0.004384</v>
      </c>
      <c r="K3" s="13" t="n">
        <f aca="false">Resumen!J2</f>
        <v>0.00676933333333333</v>
      </c>
      <c r="L3" s="13" t="n">
        <f aca="false">Resumen!K2</f>
        <v>0.639563333333333</v>
      </c>
      <c r="M3" s="10" t="n">
        <f aca="false">L3/J3</f>
        <v>145.885796836983</v>
      </c>
    </row>
    <row r="4" customFormat="false" ht="15" hidden="false" customHeight="false" outlineLevel="0" collapsed="false">
      <c r="A4" s="3" t="str">
        <f aca="false">Resumen!A3</f>
        <v>pr144</v>
      </c>
      <c r="B4" s="10" t="n">
        <f aca="false">Resumen!B3</f>
        <v>144</v>
      </c>
      <c r="C4" s="11" t="n">
        <f aca="false">Resumen!C3</f>
        <v>640770.875</v>
      </c>
      <c r="D4" s="11" t="n">
        <f aca="false">Resumen!D3</f>
        <v>661541.854166667</v>
      </c>
      <c r="E4" s="11" t="n">
        <f aca="false">Resumen!E3</f>
        <v>216600.5625</v>
      </c>
      <c r="F4" s="3" t="str">
        <f aca="false">INDEX($C$2:$E$2,MATCH(MIN(C4:E4),C4:E4,0))</f>
        <v>Búsqueda local</v>
      </c>
      <c r="G4" s="12" t="n">
        <f aca="false">C4/$C4</f>
        <v>1</v>
      </c>
      <c r="H4" s="12" t="n">
        <f aca="false">D4/$C4</f>
        <v>1.0324156105982</v>
      </c>
      <c r="I4" s="12" t="n">
        <f aca="false">E4/$C4</f>
        <v>0.338031222939089</v>
      </c>
      <c r="J4" s="13" t="n">
        <f aca="false">Resumen!I3</f>
        <v>0.001409</v>
      </c>
      <c r="K4" s="13" t="n">
        <f aca="false">Resumen!J3</f>
        <v>0.001856</v>
      </c>
      <c r="L4" s="13" t="n">
        <f aca="false">Resumen!K3</f>
        <v>0.121134333333333</v>
      </c>
      <c r="M4" s="10" t="n">
        <f aca="false">L4/J4</f>
        <v>85.9718476460847</v>
      </c>
    </row>
    <row r="5" customFormat="false" ht="15" hidden="false" customHeight="false" outlineLevel="0" collapsed="false">
      <c r="A5" s="3" t="str">
        <f aca="false">Resumen!A4</f>
        <v>ch130</v>
      </c>
      <c r="B5" s="10" t="n">
        <f aca="false">Resumen!B4</f>
        <v>130</v>
      </c>
      <c r="C5" s="11" t="n">
        <f aca="false">Resumen!C4</f>
        <v>40397.48828125</v>
      </c>
      <c r="D5" s="11" t="n">
        <f aca="false">Resumen!D4</f>
        <v>41713.1575520833</v>
      </c>
      <c r="E5" s="11" t="n">
        <f aca="false">Resumen!E4</f>
        <v>12941.2203776042</v>
      </c>
      <c r="F5" s="3" t="str">
        <f aca="false">INDEX($C$2:$E$2,MATCH(MIN(C5:E5),C5:E5,0))</f>
        <v>Búsqueda local</v>
      </c>
      <c r="G5" s="12" t="n">
        <f aca="false">C5/$C5</f>
        <v>1</v>
      </c>
      <c r="H5" s="12" t="n">
        <f aca="false">D5/$C5</f>
        <v>1.03256809585966</v>
      </c>
      <c r="I5" s="12" t="n">
        <f aca="false">E5/$C5</f>
        <v>0.320347153454357</v>
      </c>
      <c r="J5" s="13" t="n">
        <f aca="false">Resumen!I4</f>
        <v>0.001186</v>
      </c>
      <c r="K5" s="13" t="n">
        <f aca="false">Resumen!J4</f>
        <v>0.00149166666666667</v>
      </c>
      <c r="L5" s="13" t="n">
        <f aca="false">Resumen!K4</f>
        <v>0.107797666666667</v>
      </c>
      <c r="M5" s="10" t="n">
        <f aca="false">L5/J5</f>
        <v>90.8917931422147</v>
      </c>
    </row>
    <row r="6" customFormat="false" ht="15" hidden="false" customHeight="false" outlineLevel="0" collapsed="false">
      <c r="A6" s="3" t="str">
        <f aca="false">Resumen!A5</f>
        <v>u1060</v>
      </c>
      <c r="B6" s="10" t="n">
        <f aca="false">Resumen!B5</f>
        <v>1060</v>
      </c>
      <c r="C6" s="11" t="n">
        <f aca="false">Resumen!C5</f>
        <v>5670062</v>
      </c>
      <c r="D6" s="11" t="n">
        <f aca="false">Resumen!D5</f>
        <v>5547958.5</v>
      </c>
      <c r="E6" s="11" t="n">
        <f aca="false">Resumen!E5</f>
        <v>750260.75</v>
      </c>
      <c r="F6" s="3" t="str">
        <f aca="false">INDEX($C$2:$E$2,MATCH(MIN(C6:E6),C6:E6,0))</f>
        <v>Búsqueda local</v>
      </c>
      <c r="G6" s="12" t="n">
        <f aca="false">C6/$C6</f>
        <v>1</v>
      </c>
      <c r="H6" s="12" t="n">
        <f aca="false">D6/$C6</f>
        <v>0.978465226658897</v>
      </c>
      <c r="I6" s="12" t="n">
        <f aca="false">E6/$C6</f>
        <v>0.132319673047667</v>
      </c>
      <c r="J6" s="13" t="n">
        <f aca="false">Resumen!I5</f>
        <v>0.058674</v>
      </c>
      <c r="K6" s="13" t="n">
        <f aca="false">Resumen!J5</f>
        <v>0.089433</v>
      </c>
      <c r="L6" s="13" t="n">
        <f aca="false">Resumen!K5</f>
        <v>12.9388453333333</v>
      </c>
      <c r="M6" s="10" t="n">
        <f aca="false">L6/J6</f>
        <v>220.52093488314</v>
      </c>
    </row>
    <row r="7" customFormat="false" ht="15" hidden="false" customHeight="false" outlineLevel="0" collapsed="false">
      <c r="A7" s="3" t="str">
        <f aca="false">Resumen!A6</f>
        <v>d18512</v>
      </c>
      <c r="B7" s="10" t="n">
        <f aca="false">Resumen!B6</f>
        <v>18512</v>
      </c>
      <c r="C7" s="11" t="n">
        <f aca="false">Resumen!C6</f>
        <v>51328340</v>
      </c>
      <c r="D7" s="11" t="n">
        <f aca="false">Resumen!D6</f>
        <v>51409268</v>
      </c>
      <c r="E7" s="11" t="n">
        <f aca="false">Resumen!E6</f>
        <v>50484617.3333333</v>
      </c>
      <c r="F7" s="3" t="str">
        <f aca="false">INDEX($C$2:$E$2,MATCH(MIN(C7:E7),C7:E7,0))</f>
        <v>Búsqueda local</v>
      </c>
      <c r="G7" s="12" t="n">
        <f aca="false">C7/$C7</f>
        <v>1</v>
      </c>
      <c r="H7" s="12" t="n">
        <f aca="false">D7/$C7</f>
        <v>1.00157667284779</v>
      </c>
      <c r="I7" s="12" t="n">
        <f aca="false">E7/$C7</f>
        <v>0.983562245210606</v>
      </c>
      <c r="J7" s="13" t="n">
        <f aca="false">Resumen!I6</f>
        <v>17.442012</v>
      </c>
      <c r="K7" s="13" t="n">
        <f aca="false">Resumen!J6</f>
        <v>28.2915266666667</v>
      </c>
      <c r="L7" s="13" t="n">
        <f aca="false">Resumen!K6</f>
        <v>113.698958333333</v>
      </c>
      <c r="M7" s="10" t="n">
        <f aca="false">L7/J7</f>
        <v>6.51868364345428</v>
      </c>
    </row>
    <row r="8" customFormat="false" ht="15" hidden="false" customHeight="false" outlineLevel="0" collapsed="false">
      <c r="A8" s="14" t="s">
        <v>24</v>
      </c>
    </row>
  </sheetData>
  <mergeCells count="7">
    <mergeCell ref="A1:A2"/>
    <mergeCell ref="B1:B2"/>
    <mergeCell ref="C1:E1"/>
    <mergeCell ref="F1:F2"/>
    <mergeCell ref="G1:I1"/>
    <mergeCell ref="J1:L1"/>
    <mergeCell ref="M1:M2"/>
  </mergeCells>
  <conditionalFormatting sqref="C3:E7">
    <cfRule type="expression" priority="2" aboveAverage="0" equalAverage="0" bottom="0" percent="0" rank="0" text="" dxfId="0">
      <formula>C3=MIN($C3:$E3)</formula>
    </cfRule>
  </conditionalFormatting>
  <conditionalFormatting sqref="J3:L7">
    <cfRule type="expression" priority="3" aboveAverage="0" equalAverage="0" bottom="0" percent="0" rank="0" text="" dxfId="0">
      <formula>J3=MIN($J3:$L3)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25</v>
      </c>
      <c r="D1" s="2" t="s">
        <v>26</v>
      </c>
      <c r="E1" s="2" t="s">
        <v>17</v>
      </c>
      <c r="F1" s="2" t="s">
        <v>27</v>
      </c>
    </row>
    <row r="2" customFormat="false" ht="15" hidden="false" customHeight="true" outlineLevel="0" collapsed="false">
      <c r="A2" s="3" t="s">
        <v>11</v>
      </c>
      <c r="B2" s="4" t="n">
        <v>280</v>
      </c>
      <c r="C2" s="15" t="n">
        <v>0</v>
      </c>
      <c r="D2" s="15" t="n">
        <v>6587431</v>
      </c>
      <c r="E2" s="16" t="n">
        <v>6092.5986328125</v>
      </c>
      <c r="F2" s="7" t="n">
        <v>0.704243</v>
      </c>
    </row>
    <row r="3" customFormat="false" ht="15" hidden="false" customHeight="true" outlineLevel="0" collapsed="false">
      <c r="A3" s="3" t="s">
        <v>11</v>
      </c>
      <c r="B3" s="4" t="n">
        <v>280</v>
      </c>
      <c r="C3" s="15" t="n">
        <v>1</v>
      </c>
      <c r="D3" s="15" t="n">
        <v>5874316</v>
      </c>
      <c r="E3" s="16" t="n">
        <v>7380.2490234375</v>
      </c>
      <c r="F3" s="7" t="n">
        <v>0.617057</v>
      </c>
    </row>
    <row r="4" customFormat="false" ht="15" hidden="false" customHeight="true" outlineLevel="0" collapsed="false">
      <c r="A4" s="3" t="s">
        <v>11</v>
      </c>
      <c r="B4" s="4" t="n">
        <v>280</v>
      </c>
      <c r="C4" s="15" t="n">
        <v>2</v>
      </c>
      <c r="D4" s="15" t="n">
        <v>8743165</v>
      </c>
      <c r="E4" s="16" t="n">
        <v>6848.07958984375</v>
      </c>
      <c r="F4" s="7" t="n">
        <v>0.59739</v>
      </c>
    </row>
    <row r="5" customFormat="false" ht="15" hidden="false" customHeight="true" outlineLevel="0" collapsed="false">
      <c r="A5" s="3" t="s">
        <v>12</v>
      </c>
      <c r="B5" s="4" t="n">
        <v>144</v>
      </c>
      <c r="C5" s="15" t="n">
        <v>0</v>
      </c>
      <c r="D5" s="15" t="n">
        <v>7431658</v>
      </c>
      <c r="E5" s="16" t="n">
        <v>222961.34375</v>
      </c>
      <c r="F5" s="7" t="n">
        <v>0.113445</v>
      </c>
    </row>
    <row r="6" customFormat="false" ht="15" hidden="false" customHeight="true" outlineLevel="0" collapsed="false">
      <c r="A6" s="3" t="s">
        <v>12</v>
      </c>
      <c r="B6" s="4" t="n">
        <v>144</v>
      </c>
      <c r="C6" s="15" t="n">
        <v>1</v>
      </c>
      <c r="D6" s="15" t="n">
        <v>4316587</v>
      </c>
      <c r="E6" s="16" t="n">
        <v>204411.5</v>
      </c>
      <c r="F6" s="7" t="n">
        <v>0.116553</v>
      </c>
    </row>
    <row r="7" customFormat="false" ht="15" hidden="false" customHeight="true" outlineLevel="0" collapsed="false">
      <c r="A7" s="3" t="s">
        <v>12</v>
      </c>
      <c r="B7" s="4" t="n">
        <v>144</v>
      </c>
      <c r="C7" s="15" t="n">
        <v>2</v>
      </c>
      <c r="D7" s="15" t="n">
        <v>3165874</v>
      </c>
      <c r="E7" s="16" t="n">
        <v>222428.84375</v>
      </c>
      <c r="F7" s="7" t="n">
        <v>0.133405</v>
      </c>
    </row>
    <row r="8" customFormat="false" ht="15" hidden="false" customHeight="true" outlineLevel="0" collapsed="false">
      <c r="A8" s="3" t="s">
        <v>15</v>
      </c>
      <c r="B8" s="4" t="n">
        <v>18512</v>
      </c>
      <c r="C8" s="15" t="n">
        <v>0</v>
      </c>
      <c r="D8" s="15" t="n">
        <v>1658743</v>
      </c>
      <c r="E8" s="16" t="n">
        <v>49904440</v>
      </c>
      <c r="F8" s="7" t="n">
        <v>110.220412</v>
      </c>
    </row>
    <row r="9" customFormat="false" ht="15" hidden="false" customHeight="true" outlineLevel="0" collapsed="false">
      <c r="A9" s="3" t="s">
        <v>15</v>
      </c>
      <c r="B9" s="4" t="n">
        <v>18512</v>
      </c>
      <c r="C9" s="15" t="n">
        <v>1</v>
      </c>
      <c r="D9" s="15" t="n">
        <v>6587431</v>
      </c>
      <c r="E9" s="16" t="n">
        <v>50855556</v>
      </c>
      <c r="F9" s="7" t="n">
        <v>121.239413</v>
      </c>
    </row>
    <row r="10" customFormat="false" ht="15" hidden="false" customHeight="true" outlineLevel="0" collapsed="false">
      <c r="A10" s="3" t="s">
        <v>15</v>
      </c>
      <c r="B10" s="4" t="n">
        <v>18512</v>
      </c>
      <c r="C10" s="15" t="n">
        <v>2</v>
      </c>
      <c r="D10" s="15" t="n">
        <v>5874316</v>
      </c>
      <c r="E10" s="16" t="n">
        <v>50693856</v>
      </c>
      <c r="F10" s="7" t="n">
        <v>109.63705</v>
      </c>
    </row>
    <row r="11" customFormat="false" ht="15" hidden="false" customHeight="true" outlineLevel="0" collapsed="false">
      <c r="A11" s="3" t="s">
        <v>13</v>
      </c>
      <c r="B11" s="4" t="n">
        <v>130</v>
      </c>
      <c r="C11" s="15" t="n">
        <v>0</v>
      </c>
      <c r="D11" s="15" t="n">
        <v>8743165</v>
      </c>
      <c r="E11" s="16" t="n">
        <v>14014.5244140625</v>
      </c>
      <c r="F11" s="7" t="n">
        <v>0.100746</v>
      </c>
    </row>
    <row r="12" customFormat="false" ht="15" hidden="false" customHeight="true" outlineLevel="0" collapsed="false">
      <c r="A12" s="3" t="s">
        <v>13</v>
      </c>
      <c r="B12" s="4" t="n">
        <v>130</v>
      </c>
      <c r="C12" s="15" t="n">
        <v>1</v>
      </c>
      <c r="D12" s="15" t="n">
        <v>7431658</v>
      </c>
      <c r="E12" s="16" t="n">
        <v>12709.205078125</v>
      </c>
      <c r="F12" s="7" t="n">
        <v>0.107692</v>
      </c>
    </row>
    <row r="13" customFormat="false" ht="15" hidden="false" customHeight="true" outlineLevel="0" collapsed="false">
      <c r="A13" s="3" t="s">
        <v>13</v>
      </c>
      <c r="B13" s="4" t="n">
        <v>130</v>
      </c>
      <c r="C13" s="15" t="n">
        <v>2</v>
      </c>
      <c r="D13" s="15" t="n">
        <v>4316587</v>
      </c>
      <c r="E13" s="16" t="n">
        <v>12099.931640625</v>
      </c>
      <c r="F13" s="7" t="n">
        <v>0.114955</v>
      </c>
    </row>
    <row r="14" customFormat="false" ht="15" hidden="false" customHeight="true" outlineLevel="0" collapsed="false">
      <c r="A14" s="3" t="s">
        <v>14</v>
      </c>
      <c r="B14" s="4" t="n">
        <v>1060</v>
      </c>
      <c r="C14" s="15" t="n">
        <v>0</v>
      </c>
      <c r="D14" s="15" t="n">
        <v>3165874</v>
      </c>
      <c r="E14" s="16" t="n">
        <v>669469.4375</v>
      </c>
      <c r="F14" s="7" t="n">
        <v>13.702483</v>
      </c>
    </row>
    <row r="15" customFormat="false" ht="15" hidden="false" customHeight="true" outlineLevel="0" collapsed="false">
      <c r="A15" s="3" t="s">
        <v>14</v>
      </c>
      <c r="B15" s="4" t="n">
        <v>1060</v>
      </c>
      <c r="C15" s="15" t="n">
        <v>1</v>
      </c>
      <c r="D15" s="15" t="n">
        <v>1658743</v>
      </c>
      <c r="E15" s="16" t="n">
        <v>767629.125</v>
      </c>
      <c r="F15" s="7" t="n">
        <v>13.21</v>
      </c>
    </row>
    <row r="16" customFormat="false" ht="15" hidden="false" customHeight="true" outlineLevel="0" collapsed="false">
      <c r="A16" s="3" t="s">
        <v>14</v>
      </c>
      <c r="B16" s="4" t="n">
        <v>1060</v>
      </c>
      <c r="C16" s="15" t="n">
        <v>2</v>
      </c>
      <c r="D16" s="15" t="n">
        <v>6587431</v>
      </c>
      <c r="E16" s="16" t="n">
        <v>813683.6875</v>
      </c>
      <c r="F16" s="7" t="n">
        <v>11.904053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17</v>
      </c>
      <c r="D1" s="2" t="s">
        <v>27</v>
      </c>
    </row>
    <row r="2" customFormat="false" ht="15" hidden="false" customHeight="true" outlineLevel="0" collapsed="false">
      <c r="A2" s="3" t="s">
        <v>11</v>
      </c>
      <c r="B2" s="4" t="n">
        <v>280</v>
      </c>
      <c r="C2" s="16" t="n">
        <v>30296.8203125</v>
      </c>
      <c r="D2" s="7" t="n">
        <v>0.004384</v>
      </c>
    </row>
    <row r="3" customFormat="false" ht="15" hidden="false" customHeight="true" outlineLevel="0" collapsed="false">
      <c r="A3" s="3" t="s">
        <v>12</v>
      </c>
      <c r="B3" s="4" t="n">
        <v>144</v>
      </c>
      <c r="C3" s="16" t="n">
        <v>640770.875</v>
      </c>
      <c r="D3" s="7" t="n">
        <v>0.001409</v>
      </c>
    </row>
    <row r="4" customFormat="false" ht="15" hidden="false" customHeight="true" outlineLevel="0" collapsed="false">
      <c r="A4" s="3" t="s">
        <v>15</v>
      </c>
      <c r="B4" s="4" t="n">
        <v>18512</v>
      </c>
      <c r="C4" s="16" t="n">
        <v>51328340</v>
      </c>
      <c r="D4" s="7" t="n">
        <v>17.442012</v>
      </c>
    </row>
    <row r="5" customFormat="false" ht="15" hidden="false" customHeight="true" outlineLevel="0" collapsed="false">
      <c r="A5" s="3" t="s">
        <v>13</v>
      </c>
      <c r="B5" s="4" t="n">
        <v>130</v>
      </c>
      <c r="C5" s="16" t="n">
        <v>40397.48828125</v>
      </c>
      <c r="D5" s="7" t="n">
        <v>0.001186</v>
      </c>
    </row>
    <row r="6" customFormat="false" ht="15" hidden="false" customHeight="true" outlineLevel="0" collapsed="false">
      <c r="A6" s="3" t="s">
        <v>14</v>
      </c>
      <c r="B6" s="4" t="n">
        <v>1060</v>
      </c>
      <c r="C6" s="16" t="n">
        <v>5670062</v>
      </c>
      <c r="D6" s="7" t="n">
        <v>0.058674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25</v>
      </c>
      <c r="D1" s="2" t="s">
        <v>26</v>
      </c>
      <c r="E1" s="2" t="s">
        <v>17</v>
      </c>
      <c r="F1" s="2" t="s">
        <v>27</v>
      </c>
    </row>
    <row r="2" customFormat="false" ht="15" hidden="false" customHeight="true" outlineLevel="0" collapsed="false">
      <c r="A2" s="3" t="s">
        <v>11</v>
      </c>
      <c r="B2" s="4" t="n">
        <v>280</v>
      </c>
      <c r="C2" s="15" t="n">
        <v>0</v>
      </c>
      <c r="D2" s="15" t="n">
        <v>5874316</v>
      </c>
      <c r="E2" s="16" t="n">
        <v>29454.83984375</v>
      </c>
      <c r="F2" s="7" t="n">
        <v>0.007014</v>
      </c>
    </row>
    <row r="3" customFormat="false" ht="15" hidden="false" customHeight="true" outlineLevel="0" collapsed="false">
      <c r="A3" s="3" t="s">
        <v>11</v>
      </c>
      <c r="B3" s="4" t="n">
        <v>280</v>
      </c>
      <c r="C3" s="15" t="n">
        <v>1</v>
      </c>
      <c r="D3" s="15" t="n">
        <v>8743165</v>
      </c>
      <c r="E3" s="16" t="n">
        <v>30282.705078125</v>
      </c>
      <c r="F3" s="7" t="n">
        <v>0.006325</v>
      </c>
    </row>
    <row r="4" customFormat="false" ht="15" hidden="false" customHeight="true" outlineLevel="0" collapsed="false">
      <c r="A4" s="3" t="s">
        <v>11</v>
      </c>
      <c r="B4" s="4" t="n">
        <v>280</v>
      </c>
      <c r="C4" s="15" t="n">
        <v>2</v>
      </c>
      <c r="D4" s="15" t="n">
        <v>7431658</v>
      </c>
      <c r="E4" s="16" t="n">
        <v>30237.775390625</v>
      </c>
      <c r="F4" s="7" t="n">
        <v>0.006969</v>
      </c>
    </row>
    <row r="5" customFormat="false" ht="15" hidden="false" customHeight="true" outlineLevel="0" collapsed="false">
      <c r="A5" s="3" t="s">
        <v>12</v>
      </c>
      <c r="B5" s="4" t="n">
        <v>144</v>
      </c>
      <c r="C5" s="15" t="n">
        <v>0</v>
      </c>
      <c r="D5" s="15" t="n">
        <v>4316587</v>
      </c>
      <c r="E5" s="16" t="n">
        <v>651173.375</v>
      </c>
      <c r="F5" s="7" t="n">
        <v>0.001806</v>
      </c>
    </row>
    <row r="6" customFormat="false" ht="15" hidden="false" customHeight="true" outlineLevel="0" collapsed="false">
      <c r="A6" s="3" t="s">
        <v>12</v>
      </c>
      <c r="B6" s="4" t="n">
        <v>144</v>
      </c>
      <c r="C6" s="15" t="n">
        <v>1</v>
      </c>
      <c r="D6" s="15" t="n">
        <v>3165874</v>
      </c>
      <c r="E6" s="16" t="n">
        <v>688277.4375</v>
      </c>
      <c r="F6" s="7" t="n">
        <v>0.001928</v>
      </c>
    </row>
    <row r="7" customFormat="false" ht="15" hidden="false" customHeight="true" outlineLevel="0" collapsed="false">
      <c r="A7" s="3" t="s">
        <v>12</v>
      </c>
      <c r="B7" s="4" t="n">
        <v>144</v>
      </c>
      <c r="C7" s="15" t="n">
        <v>2</v>
      </c>
      <c r="D7" s="15" t="n">
        <v>1658743</v>
      </c>
      <c r="E7" s="16" t="n">
        <v>645174.75</v>
      </c>
      <c r="F7" s="7" t="n">
        <v>0.001834</v>
      </c>
    </row>
    <row r="8" customFormat="false" ht="15" hidden="false" customHeight="true" outlineLevel="0" collapsed="false">
      <c r="A8" s="3" t="s">
        <v>15</v>
      </c>
      <c r="B8" s="4" t="n">
        <v>18512</v>
      </c>
      <c r="C8" s="15" t="n">
        <v>0</v>
      </c>
      <c r="D8" s="15" t="n">
        <v>6587431</v>
      </c>
      <c r="E8" s="16" t="n">
        <v>51749504</v>
      </c>
      <c r="F8" s="7" t="n">
        <v>28.940462</v>
      </c>
    </row>
    <row r="9" customFormat="false" ht="15" hidden="false" customHeight="true" outlineLevel="0" collapsed="false">
      <c r="A9" s="3" t="s">
        <v>15</v>
      </c>
      <c r="B9" s="4" t="n">
        <v>18512</v>
      </c>
      <c r="C9" s="15" t="n">
        <v>1</v>
      </c>
      <c r="D9" s="15" t="n">
        <v>5874316</v>
      </c>
      <c r="E9" s="16" t="n">
        <v>51530760</v>
      </c>
      <c r="F9" s="7" t="n">
        <v>28.032229</v>
      </c>
    </row>
    <row r="10" customFormat="false" ht="15" hidden="false" customHeight="true" outlineLevel="0" collapsed="false">
      <c r="A10" s="3" t="s">
        <v>15</v>
      </c>
      <c r="B10" s="4" t="n">
        <v>18512</v>
      </c>
      <c r="C10" s="15" t="n">
        <v>2</v>
      </c>
      <c r="D10" s="15" t="n">
        <v>8743165</v>
      </c>
      <c r="E10" s="16" t="n">
        <v>50947540</v>
      </c>
      <c r="F10" s="7" t="n">
        <v>27.901889</v>
      </c>
    </row>
    <row r="11" customFormat="false" ht="15" hidden="false" customHeight="true" outlineLevel="0" collapsed="false">
      <c r="A11" s="3" t="s">
        <v>13</v>
      </c>
      <c r="B11" s="4" t="n">
        <v>130</v>
      </c>
      <c r="C11" s="15" t="n">
        <v>0</v>
      </c>
      <c r="D11" s="15" t="n">
        <v>7431658</v>
      </c>
      <c r="E11" s="16" t="n">
        <v>40164.5546875</v>
      </c>
      <c r="F11" s="7" t="n">
        <v>0.001521</v>
      </c>
    </row>
    <row r="12" customFormat="false" ht="15" hidden="false" customHeight="true" outlineLevel="0" collapsed="false">
      <c r="A12" s="3" t="s">
        <v>13</v>
      </c>
      <c r="B12" s="4" t="n">
        <v>130</v>
      </c>
      <c r="C12" s="15" t="n">
        <v>1</v>
      </c>
      <c r="D12" s="15" t="n">
        <v>4316587</v>
      </c>
      <c r="E12" s="16" t="n">
        <v>44011.38671875</v>
      </c>
      <c r="F12" s="7" t="n">
        <v>0.001472</v>
      </c>
    </row>
    <row r="13" customFormat="false" ht="15" hidden="false" customHeight="true" outlineLevel="0" collapsed="false">
      <c r="A13" s="3" t="s">
        <v>13</v>
      </c>
      <c r="B13" s="4" t="n">
        <v>130</v>
      </c>
      <c r="C13" s="15" t="n">
        <v>2</v>
      </c>
      <c r="D13" s="15" t="n">
        <v>3165874</v>
      </c>
      <c r="E13" s="16" t="n">
        <v>40963.53125</v>
      </c>
      <c r="F13" s="7" t="n">
        <v>0.001482</v>
      </c>
    </row>
    <row r="14" customFormat="false" ht="15" hidden="false" customHeight="true" outlineLevel="0" collapsed="false">
      <c r="A14" s="3" t="s">
        <v>14</v>
      </c>
      <c r="B14" s="4" t="n">
        <v>1060</v>
      </c>
      <c r="C14" s="15" t="n">
        <v>0</v>
      </c>
      <c r="D14" s="15" t="n">
        <v>1658743</v>
      </c>
      <c r="E14" s="16" t="n">
        <v>5485443.5</v>
      </c>
      <c r="F14" s="7" t="n">
        <v>0.085174</v>
      </c>
    </row>
    <row r="15" customFormat="false" ht="15" hidden="false" customHeight="true" outlineLevel="0" collapsed="false">
      <c r="A15" s="3" t="s">
        <v>14</v>
      </c>
      <c r="B15" s="4" t="n">
        <v>1060</v>
      </c>
      <c r="C15" s="15" t="n">
        <v>1</v>
      </c>
      <c r="D15" s="15" t="n">
        <v>6587431</v>
      </c>
      <c r="E15" s="16" t="n">
        <v>5432359</v>
      </c>
      <c r="F15" s="7" t="n">
        <v>0.08506</v>
      </c>
    </row>
    <row r="16" customFormat="false" ht="15" hidden="false" customHeight="true" outlineLevel="0" collapsed="false">
      <c r="A16" s="3" t="s">
        <v>14</v>
      </c>
      <c r="B16" s="4" t="n">
        <v>1060</v>
      </c>
      <c r="C16" s="15" t="n">
        <v>2</v>
      </c>
      <c r="D16" s="15" t="n">
        <v>5874316</v>
      </c>
      <c r="E16" s="16" t="n">
        <v>5726073</v>
      </c>
      <c r="F16" s="7" t="n">
        <v>0.098065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2026-09-29T15:04:25Z</dcterms:created>
  <dc:creator>openpyxl</dc:creator>
  <dc:description/>
  <dc:language>en-US</dc:language>
  <cp:lastModifiedBy/>
  <dcterms:modified xsi:type="dcterms:W3CDTF">2026-09-29T15:08:21Z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